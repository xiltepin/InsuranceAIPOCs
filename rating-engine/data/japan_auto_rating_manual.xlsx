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CD_Grades" sheetId="1" state="visible" r:id="rId1"/>
    <sheet name="Age_Factors" sheetId="2" state="visible" r:id="rId2"/>
    <sheet name="Prefecture_Rates" sheetId="3" state="visible" r:id="rId3"/>
    <sheet name="Vehicle_Class" sheetId="4" state="visible" r:id="rId4"/>
    <sheet name="Driver_Restriction" sheetId="5" state="visible" r:id="rId5"/>
    <sheet name="Base_Premiums" sheetId="6" state="visible" r:id="rId6"/>
    <sheet name="Sample_Calc" sheetId="7" state="visible" r:id="rId7"/>
    <sheet name="Cov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843C0C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  <font>
      <name val="Arial"/>
      <i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30" customHeight="1">
      <c r="B1" s="1" t="inlineStr">
        <is>
          <t>等級係数表 — NCD Grade Factor Table</t>
        </is>
      </c>
    </row>
    <row r="2">
      <c r="B2" s="2" t="inlineStr">
        <is>
          <t>New drivers start Grade 6. +1 per claim-free year. -3 per accident claim.</t>
        </is>
      </c>
    </row>
    <row r="4" ht="36" customHeight="1">
      <c r="B4" s="3" t="inlineStr">
        <is>
          <t>等級
Grade</t>
        </is>
      </c>
      <c r="C4" s="3" t="inlineStr">
        <is>
          <t>対人賠償
BI Liability</t>
        </is>
      </c>
      <c r="D4" s="3" t="inlineStr">
        <is>
          <t>対物賠償
PD Liability</t>
        </is>
      </c>
      <c r="E4" s="3" t="inlineStr">
        <is>
          <t>車両保険
Vehicle</t>
        </is>
      </c>
      <c r="F4" s="3" t="inlineStr">
        <is>
          <t>搭乗者傷害
Passenger</t>
        </is>
      </c>
      <c r="G4" s="4" t="inlineStr">
        <is>
          <t>備考 Notes</t>
        </is>
      </c>
    </row>
    <row r="5">
      <c r="B5" s="5" t="n">
        <v>1</v>
      </c>
      <c r="C5" s="6" t="n">
        <v>2.1</v>
      </c>
      <c r="D5" s="6" t="n">
        <v>2.05</v>
      </c>
      <c r="E5" s="6" t="n">
        <v>2.2</v>
      </c>
      <c r="F5" s="6" t="n">
        <v>1.8</v>
      </c>
      <c r="G5" s="7" t="inlineStr">
        <is>
          <t>Penalty — multiple accidents</t>
        </is>
      </c>
    </row>
    <row r="6">
      <c r="B6" s="8" t="n">
        <v>2</v>
      </c>
      <c r="C6" s="6" t="n">
        <v>1.8</v>
      </c>
      <c r="D6" s="6" t="n">
        <v>1.75</v>
      </c>
      <c r="E6" s="6" t="n">
        <v>1.9</v>
      </c>
      <c r="F6" s="6" t="n">
        <v>1.6</v>
      </c>
      <c r="G6" s="7" t="inlineStr">
        <is>
          <t>Penalty</t>
        </is>
      </c>
    </row>
    <row r="7">
      <c r="B7" s="5" t="n">
        <v>3</v>
      </c>
      <c r="C7" s="6" t="n">
        <v>1.6</v>
      </c>
      <c r="D7" s="6" t="n">
        <v>1.55</v>
      </c>
      <c r="E7" s="6" t="n">
        <v>1.7</v>
      </c>
      <c r="F7" s="6" t="n">
        <v>1.4</v>
      </c>
      <c r="G7" s="7" t="inlineStr">
        <is>
          <t>Penalty</t>
        </is>
      </c>
    </row>
    <row r="8">
      <c r="B8" s="8" t="n">
        <v>4</v>
      </c>
      <c r="C8" s="6" t="n">
        <v>1.4</v>
      </c>
      <c r="D8" s="6" t="n">
        <v>1.35</v>
      </c>
      <c r="E8" s="6" t="n">
        <v>1.5</v>
      </c>
      <c r="F8" s="6" t="n">
        <v>1.25</v>
      </c>
      <c r="G8" s="7" t="inlineStr">
        <is>
          <t>Penalty</t>
        </is>
      </c>
    </row>
    <row r="9">
      <c r="B9" s="5" t="n">
        <v>5</v>
      </c>
      <c r="C9" s="6" t="n">
        <v>1.2</v>
      </c>
      <c r="D9" s="6" t="n">
        <v>1.18</v>
      </c>
      <c r="E9" s="6" t="n">
        <v>1.25</v>
      </c>
      <c r="F9" s="6" t="n">
        <v>1.1</v>
      </c>
      <c r="G9" s="7" t="inlineStr">
        <is>
          <t>Slight surcharge</t>
        </is>
      </c>
    </row>
    <row r="10">
      <c r="B10" s="8" t="n">
        <v>6</v>
      </c>
      <c r="C10" s="6" t="n">
        <v>1</v>
      </c>
      <c r="D10" s="6" t="n">
        <v>1</v>
      </c>
      <c r="E10" s="6" t="n">
        <v>1</v>
      </c>
      <c r="F10" s="6" t="n">
        <v>1</v>
      </c>
      <c r="G10" s="9" t="inlineStr">
        <is>
          <t>New driver starting grade (新規契約)</t>
        </is>
      </c>
    </row>
    <row r="11">
      <c r="B11" s="5" t="n">
        <v>7</v>
      </c>
      <c r="C11" s="6" t="n">
        <v>0.93</v>
      </c>
      <c r="D11" s="6" t="n">
        <v>0.9399999999999999</v>
      </c>
      <c r="E11" s="6" t="n">
        <v>0.92</v>
      </c>
      <c r="F11" s="6" t="n">
        <v>0.95</v>
      </c>
      <c r="G11" s="10" t="inlineStr">
        <is>
          <t>1 year claim-free</t>
        </is>
      </c>
    </row>
    <row r="12">
      <c r="B12" s="8" t="n">
        <v>8</v>
      </c>
      <c r="C12" s="6" t="n">
        <v>0.87</v>
      </c>
      <c r="D12" s="6" t="n">
        <v>0.88</v>
      </c>
      <c r="E12" s="6" t="n">
        <v>0.86</v>
      </c>
      <c r="F12" s="6" t="n">
        <v>0.91</v>
      </c>
      <c r="G12" s="9" t="inlineStr">
        <is>
          <t>2 years claim-free</t>
        </is>
      </c>
    </row>
    <row r="13">
      <c r="B13" s="5" t="n">
        <v>9</v>
      </c>
      <c r="C13" s="6" t="n">
        <v>0.82</v>
      </c>
      <c r="D13" s="6" t="n">
        <v>0.83</v>
      </c>
      <c r="E13" s="6" t="n">
        <v>0.8100000000000001</v>
      </c>
      <c r="F13" s="6" t="n">
        <v>0.88</v>
      </c>
      <c r="G13" s="10" t="inlineStr">
        <is>
          <t>3 years claim-free</t>
        </is>
      </c>
    </row>
    <row r="14">
      <c r="B14" s="8" t="n">
        <v>10</v>
      </c>
      <c r="C14" s="6" t="n">
        <v>0.77</v>
      </c>
      <c r="D14" s="6" t="n">
        <v>0.79</v>
      </c>
      <c r="E14" s="6" t="n">
        <v>0.76</v>
      </c>
      <c r="F14" s="6" t="n">
        <v>0.85</v>
      </c>
      <c r="G14" s="9" t="inlineStr">
        <is>
          <t>4 years claim-free</t>
        </is>
      </c>
    </row>
    <row r="15">
      <c r="B15" s="5" t="n">
        <v>11</v>
      </c>
      <c r="C15" s="6" t="n">
        <v>0.73</v>
      </c>
      <c r="D15" s="6" t="n">
        <v>0.75</v>
      </c>
      <c r="E15" s="6" t="n">
        <v>0.72</v>
      </c>
      <c r="F15" s="6" t="n">
        <v>0.82</v>
      </c>
      <c r="G15" s="10" t="inlineStr">
        <is>
          <t>5 years claim-free</t>
        </is>
      </c>
    </row>
    <row r="16">
      <c r="B16" s="8" t="n">
        <v>12</v>
      </c>
      <c r="C16" s="6" t="n">
        <v>0.6899999999999999</v>
      </c>
      <c r="D16" s="6" t="n">
        <v>0.71</v>
      </c>
      <c r="E16" s="6" t="n">
        <v>0.68</v>
      </c>
      <c r="F16" s="6" t="n">
        <v>0.79</v>
      </c>
      <c r="G16" s="9" t="inlineStr">
        <is>
          <t>6 years claim-free</t>
        </is>
      </c>
    </row>
    <row r="17">
      <c r="B17" s="5" t="n">
        <v>13</v>
      </c>
      <c r="C17" s="6" t="n">
        <v>0.65</v>
      </c>
      <c r="D17" s="6" t="n">
        <v>0.68</v>
      </c>
      <c r="E17" s="6" t="n">
        <v>0.64</v>
      </c>
      <c r="F17" s="6" t="n">
        <v>0.77</v>
      </c>
      <c r="G17" s="10" t="inlineStr">
        <is>
          <t>7 years claim-free</t>
        </is>
      </c>
    </row>
    <row r="18">
      <c r="B18" s="8" t="n">
        <v>14</v>
      </c>
      <c r="C18" s="6" t="n">
        <v>0.62</v>
      </c>
      <c r="D18" s="6" t="n">
        <v>0.65</v>
      </c>
      <c r="E18" s="6" t="n">
        <v>0.61</v>
      </c>
      <c r="F18" s="6" t="n">
        <v>0.75</v>
      </c>
      <c r="G18" s="9" t="inlineStr">
        <is>
          <t>8 years claim-free</t>
        </is>
      </c>
    </row>
    <row r="19">
      <c r="B19" s="5" t="n">
        <v>15</v>
      </c>
      <c r="C19" s="6" t="n">
        <v>0.59</v>
      </c>
      <c r="D19" s="6" t="n">
        <v>0.62</v>
      </c>
      <c r="E19" s="6" t="n">
        <v>0.58</v>
      </c>
      <c r="F19" s="6" t="n">
        <v>0.73</v>
      </c>
      <c r="G19" s="10" t="inlineStr">
        <is>
          <t>9 years claim-free</t>
        </is>
      </c>
    </row>
    <row r="20">
      <c r="B20" s="8" t="n">
        <v>16</v>
      </c>
      <c r="C20" s="6" t="n">
        <v>0.5600000000000001</v>
      </c>
      <c r="D20" s="6" t="n">
        <v>0.59</v>
      </c>
      <c r="E20" s="6" t="n">
        <v>0.55</v>
      </c>
      <c r="F20" s="6" t="n">
        <v>0.71</v>
      </c>
      <c r="G20" s="9" t="inlineStr">
        <is>
          <t>10 years claim-free</t>
        </is>
      </c>
    </row>
    <row r="21">
      <c r="B21" s="5" t="n">
        <v>17</v>
      </c>
      <c r="C21" s="6" t="n">
        <v>0.54</v>
      </c>
      <c r="D21" s="6" t="n">
        <v>0.57</v>
      </c>
      <c r="E21" s="6" t="n">
        <v>0.53</v>
      </c>
      <c r="F21" s="6" t="n">
        <v>0.6899999999999999</v>
      </c>
      <c r="G21" s="10" t="inlineStr">
        <is>
          <t>11 years claim-free</t>
        </is>
      </c>
    </row>
    <row r="22">
      <c r="B22" s="8" t="n">
        <v>18</v>
      </c>
      <c r="C22" s="6" t="n">
        <v>0.52</v>
      </c>
      <c r="D22" s="6" t="n">
        <v>0.55</v>
      </c>
      <c r="E22" s="6" t="n">
        <v>0.51</v>
      </c>
      <c r="F22" s="6" t="n">
        <v>0.67</v>
      </c>
      <c r="G22" s="9" t="inlineStr">
        <is>
          <t>12 years claim-free</t>
        </is>
      </c>
    </row>
    <row r="23">
      <c r="B23" s="5" t="n">
        <v>19</v>
      </c>
      <c r="C23" s="6" t="n">
        <v>0.5</v>
      </c>
      <c r="D23" s="6" t="n">
        <v>0.53</v>
      </c>
      <c r="E23" s="6" t="n">
        <v>0.49</v>
      </c>
      <c r="F23" s="6" t="n">
        <v>0.65</v>
      </c>
      <c r="G23" s="10" t="inlineStr">
        <is>
          <t>13 years claim-free</t>
        </is>
      </c>
    </row>
    <row r="24">
      <c r="B24" s="8" t="n">
        <v>20</v>
      </c>
      <c r="C24" s="6" t="n">
        <v>0.48</v>
      </c>
      <c r="D24" s="6" t="n">
        <v>0.51</v>
      </c>
      <c r="E24" s="6" t="n">
        <v>0.47</v>
      </c>
      <c r="F24" s="6" t="n">
        <v>0.63</v>
      </c>
      <c r="G24" s="7" t="inlineStr">
        <is>
          <t>Max discount — 14+ years (最大割引)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34" customWidth="1" min="7" max="7"/>
  </cols>
  <sheetData>
    <row r="1" ht="30" customHeight="1">
      <c r="B1" s="1" t="inlineStr">
        <is>
          <t>年齢条件係数 — Driver Age Condition Factor Table</t>
        </is>
      </c>
    </row>
    <row r="3" ht="36" customHeight="1">
      <c r="B3" s="3" t="inlineStr">
        <is>
          <t>年齢条件
Age Condition</t>
        </is>
      </c>
      <c r="C3" s="3" t="inlineStr">
        <is>
          <t>対人賠償
BI</t>
        </is>
      </c>
      <c r="D3" s="3" t="inlineStr">
        <is>
          <t>対物賠償
PD</t>
        </is>
      </c>
      <c r="E3" s="3" t="inlineStr">
        <is>
          <t>車両保険
Vehicle</t>
        </is>
      </c>
      <c r="F3" s="3" t="inlineStr">
        <is>
          <t>搭乗者傷害
Passenger</t>
        </is>
      </c>
      <c r="G3" s="4" t="inlineStr">
        <is>
          <t>備考 Notes</t>
        </is>
      </c>
    </row>
    <row r="4">
      <c r="B4" s="11" t="inlineStr">
        <is>
          <t>全年齢担保 (All ages)</t>
        </is>
      </c>
      <c r="C4" s="6" t="n">
        <v>1.3</v>
      </c>
      <c r="D4" s="6" t="n">
        <v>1.28</v>
      </c>
      <c r="E4" s="6" t="n">
        <v>1.35</v>
      </c>
      <c r="F4" s="6" t="n">
        <v>1.2</v>
      </c>
      <c r="G4" s="10" t="inlineStr">
        <is>
          <t>Includes drivers under 21</t>
        </is>
      </c>
    </row>
    <row r="5">
      <c r="B5" s="12" t="inlineStr">
        <is>
          <t>21歳以上担保 (21+)</t>
        </is>
      </c>
      <c r="C5" s="6" t="n">
        <v>1.1</v>
      </c>
      <c r="D5" s="6" t="n">
        <v>1.09</v>
      </c>
      <c r="E5" s="6" t="n">
        <v>1.15</v>
      </c>
      <c r="F5" s="6" t="n">
        <v>1.05</v>
      </c>
      <c r="G5" s="9" t="inlineStr">
        <is>
          <t>Excludes under 21</t>
        </is>
      </c>
    </row>
    <row r="6">
      <c r="B6" s="11" t="inlineStr">
        <is>
          <t>26歳以上担保 (26+)</t>
        </is>
      </c>
      <c r="C6" s="6" t="n">
        <v>1</v>
      </c>
      <c r="D6" s="6" t="n">
        <v>1</v>
      </c>
      <c r="E6" s="6" t="n">
        <v>1</v>
      </c>
      <c r="F6" s="6" t="n">
        <v>1</v>
      </c>
      <c r="G6" s="10" t="inlineStr">
        <is>
          <t>Base standard condition</t>
        </is>
      </c>
    </row>
    <row r="7">
      <c r="B7" s="12" t="inlineStr">
        <is>
          <t>30歳以上担保 (30+)</t>
        </is>
      </c>
      <c r="C7" s="6" t="n">
        <v>0.92</v>
      </c>
      <c r="D7" s="6" t="n">
        <v>0.93</v>
      </c>
      <c r="E7" s="6" t="n">
        <v>0.9</v>
      </c>
      <c r="F7" s="6" t="n">
        <v>0.95</v>
      </c>
      <c r="G7" s="9" t="inlineStr">
        <is>
          <t>Experienced adult drivers</t>
        </is>
      </c>
    </row>
    <row r="8">
      <c r="B8" s="11" t="inlineStr">
        <is>
          <t>35歳以上担保 (35+)</t>
        </is>
      </c>
      <c r="C8" s="6" t="n">
        <v>0.85</v>
      </c>
      <c r="D8" s="6" t="n">
        <v>0.87</v>
      </c>
      <c r="E8" s="6" t="n">
        <v>0.83</v>
      </c>
      <c r="F8" s="6" t="n">
        <v>0.9</v>
      </c>
      <c r="G8" s="10" t="inlineStr">
        <is>
          <t>Maximum discount band</t>
        </is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2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30" customHeight="1">
      <c r="B1" s="1" t="inlineStr">
        <is>
          <t>都道府県別料率係数 — Prefecture Risk Factor Table (47 Prefectures)</t>
        </is>
      </c>
    </row>
    <row r="3" ht="36" customHeight="1">
      <c r="B3" s="3" t="inlineStr">
        <is>
          <t>コード
Code</t>
        </is>
      </c>
      <c r="C3" s="3" t="inlineStr">
        <is>
          <t>都道府県
Prefecture</t>
        </is>
      </c>
      <c r="D3" s="3" t="inlineStr">
        <is>
          <t>対人・対物
BI/PD Factor</t>
        </is>
      </c>
      <c r="E3" s="3" t="inlineStr">
        <is>
          <t>車両保険
Vehicle Factor</t>
        </is>
      </c>
      <c r="F3" s="3" t="inlineStr">
        <is>
          <t>地域区分
Region Class</t>
        </is>
      </c>
      <c r="G3" s="4" t="inlineStr">
        <is>
          <t>備考 Notes</t>
        </is>
      </c>
    </row>
    <row r="4">
      <c r="B4" s="13" t="inlineStr">
        <is>
          <t>01</t>
        </is>
      </c>
      <c r="C4" s="10" t="inlineStr">
        <is>
          <t>北海道 Hokkaido</t>
        </is>
      </c>
      <c r="D4" s="6" t="n">
        <v>1.05</v>
      </c>
      <c r="E4" s="6" t="n">
        <v>1.08</v>
      </c>
      <c r="F4" s="5" t="inlineStr">
        <is>
          <t>B</t>
        </is>
      </c>
      <c r="G4" s="14" t="inlineStr">
        <is>
          <t>High snowfall — winter accident risk</t>
        </is>
      </c>
    </row>
    <row r="5">
      <c r="B5" s="15" t="inlineStr">
        <is>
          <t>02</t>
        </is>
      </c>
      <c r="C5" s="9" t="inlineStr">
        <is>
          <t>青森 Aomori</t>
        </is>
      </c>
      <c r="D5" s="6" t="n">
        <v>0.95</v>
      </c>
      <c r="E5" s="6" t="n">
        <v>0.97</v>
      </c>
      <c r="F5" s="8" t="inlineStr">
        <is>
          <t>C</t>
        </is>
      </c>
      <c r="G5" s="16" t="inlineStr">
        <is>
          <t>Rural, lower traffic density</t>
        </is>
      </c>
    </row>
    <row r="6">
      <c r="B6" s="13" t="inlineStr">
        <is>
          <t>03</t>
        </is>
      </c>
      <c r="C6" s="10" t="inlineStr">
        <is>
          <t>岩手 Iwate</t>
        </is>
      </c>
      <c r="D6" s="6" t="n">
        <v>0.93</v>
      </c>
      <c r="E6" s="6" t="n">
        <v>0.95</v>
      </c>
      <c r="F6" s="5" t="inlineStr">
        <is>
          <t>C</t>
        </is>
      </c>
      <c r="G6" s="10" t="inlineStr"/>
    </row>
    <row r="7">
      <c r="B7" s="15" t="inlineStr">
        <is>
          <t>04</t>
        </is>
      </c>
      <c r="C7" s="9" t="inlineStr">
        <is>
          <t>宮城 Miyagi</t>
        </is>
      </c>
      <c r="D7" s="6" t="n">
        <v>1</v>
      </c>
      <c r="E7" s="6" t="n">
        <v>1.02</v>
      </c>
      <c r="F7" s="8" t="inlineStr">
        <is>
          <t>B</t>
        </is>
      </c>
      <c r="G7" s="16" t="inlineStr">
        <is>
          <t>Sendai metro area</t>
        </is>
      </c>
    </row>
    <row r="8">
      <c r="B8" s="13" t="inlineStr">
        <is>
          <t>05</t>
        </is>
      </c>
      <c r="C8" s="10" t="inlineStr">
        <is>
          <t>秋田 Akita</t>
        </is>
      </c>
      <c r="D8" s="6" t="n">
        <v>0.92</v>
      </c>
      <c r="E8" s="6" t="n">
        <v>0.9399999999999999</v>
      </c>
      <c r="F8" s="5" t="inlineStr">
        <is>
          <t>C</t>
        </is>
      </c>
      <c r="G8" s="10" t="inlineStr"/>
    </row>
    <row r="9">
      <c r="B9" s="15" t="inlineStr">
        <is>
          <t>06</t>
        </is>
      </c>
      <c r="C9" s="9" t="inlineStr">
        <is>
          <t>山形 Yamagata</t>
        </is>
      </c>
      <c r="D9" s="6" t="n">
        <v>0.91</v>
      </c>
      <c r="E9" s="6" t="n">
        <v>0.93</v>
      </c>
      <c r="F9" s="8" t="inlineStr">
        <is>
          <t>C</t>
        </is>
      </c>
      <c r="G9" s="9" t="inlineStr"/>
    </row>
    <row r="10">
      <c r="B10" s="13" t="inlineStr">
        <is>
          <t>07</t>
        </is>
      </c>
      <c r="C10" s="10" t="inlineStr">
        <is>
          <t>福島 Fukushima</t>
        </is>
      </c>
      <c r="D10" s="6" t="n">
        <v>0.9399999999999999</v>
      </c>
      <c r="E10" s="6" t="n">
        <v>0.96</v>
      </c>
      <c r="F10" s="5" t="inlineStr">
        <is>
          <t>C</t>
        </is>
      </c>
      <c r="G10" s="10" t="inlineStr"/>
    </row>
    <row r="11">
      <c r="B11" s="15" t="inlineStr">
        <is>
          <t>08</t>
        </is>
      </c>
      <c r="C11" s="9" t="inlineStr">
        <is>
          <t>茨城 Ibaraki</t>
        </is>
      </c>
      <c r="D11" s="6" t="n">
        <v>1.02</v>
      </c>
      <c r="E11" s="6" t="n">
        <v>1.05</v>
      </c>
      <c r="F11" s="8" t="inlineStr">
        <is>
          <t>B</t>
        </is>
      </c>
      <c r="G11" s="16" t="inlineStr">
        <is>
          <t>High expressway usage</t>
        </is>
      </c>
    </row>
    <row r="12">
      <c r="B12" s="13" t="inlineStr">
        <is>
          <t>09</t>
        </is>
      </c>
      <c r="C12" s="10" t="inlineStr">
        <is>
          <t>栃木 Tochigi</t>
        </is>
      </c>
      <c r="D12" s="6" t="n">
        <v>0.99</v>
      </c>
      <c r="E12" s="6" t="n">
        <v>1.01</v>
      </c>
      <c r="F12" s="5" t="inlineStr">
        <is>
          <t>B</t>
        </is>
      </c>
      <c r="G12" s="10" t="inlineStr"/>
    </row>
    <row r="13">
      <c r="B13" s="15" t="inlineStr">
        <is>
          <t>10</t>
        </is>
      </c>
      <c r="C13" s="9" t="inlineStr">
        <is>
          <t>群馬 Gunma</t>
        </is>
      </c>
      <c r="D13" s="6" t="n">
        <v>0.98</v>
      </c>
      <c r="E13" s="6" t="n">
        <v>1</v>
      </c>
      <c r="F13" s="8" t="inlineStr">
        <is>
          <t>B</t>
        </is>
      </c>
      <c r="G13" s="9" t="inlineStr"/>
    </row>
    <row r="14">
      <c r="B14" s="13" t="inlineStr">
        <is>
          <t>11</t>
        </is>
      </c>
      <c r="C14" s="10" t="inlineStr">
        <is>
          <t>埼玉 Saitama</t>
        </is>
      </c>
      <c r="D14" s="6" t="n">
        <v>1.08</v>
      </c>
      <c r="E14" s="6" t="n">
        <v>1.1</v>
      </c>
      <c r="F14" s="5" t="inlineStr">
        <is>
          <t>A</t>
        </is>
      </c>
      <c r="G14" s="14" t="inlineStr">
        <is>
          <t>Tokyo metro — high density</t>
        </is>
      </c>
    </row>
    <row r="15">
      <c r="B15" s="15" t="inlineStr">
        <is>
          <t>12</t>
        </is>
      </c>
      <c r="C15" s="9" t="inlineStr">
        <is>
          <t>千葉 Chiba</t>
        </is>
      </c>
      <c r="D15" s="6" t="n">
        <v>1.07</v>
      </c>
      <c r="E15" s="6" t="n">
        <v>1.09</v>
      </c>
      <c r="F15" s="8" t="inlineStr">
        <is>
          <t>A</t>
        </is>
      </c>
      <c r="G15" s="16" t="inlineStr">
        <is>
          <t>Tokyo metro — high congestion</t>
        </is>
      </c>
    </row>
    <row r="16">
      <c r="B16" s="13" t="inlineStr">
        <is>
          <t>13</t>
        </is>
      </c>
      <c r="C16" s="10" t="inlineStr">
        <is>
          <t>東京 Tokyo</t>
        </is>
      </c>
      <c r="D16" s="6" t="n">
        <v>1.15</v>
      </c>
      <c r="E16" s="6" t="n">
        <v>1.18</v>
      </c>
      <c r="F16" s="5" t="inlineStr">
        <is>
          <t>S</t>
        </is>
      </c>
      <c r="G16" s="14" t="inlineStr">
        <is>
          <t>Highest urban density — top surcharge</t>
        </is>
      </c>
    </row>
    <row r="17">
      <c r="B17" s="15" t="inlineStr">
        <is>
          <t>14</t>
        </is>
      </c>
      <c r="C17" s="9" t="inlineStr">
        <is>
          <t>神奈川 Kanagawa</t>
        </is>
      </c>
      <c r="D17" s="6" t="n">
        <v>1.12</v>
      </c>
      <c r="E17" s="6" t="n">
        <v>1.14</v>
      </c>
      <c r="F17" s="8" t="inlineStr">
        <is>
          <t>S</t>
        </is>
      </c>
      <c r="G17" s="16" t="inlineStr">
        <is>
          <t>Yokohama/Kawasaki corridor</t>
        </is>
      </c>
    </row>
    <row r="18">
      <c r="B18" s="13" t="inlineStr">
        <is>
          <t>15</t>
        </is>
      </c>
      <c r="C18" s="10" t="inlineStr">
        <is>
          <t>新潟 Niigata</t>
        </is>
      </c>
      <c r="D18" s="6" t="n">
        <v>0.96</v>
      </c>
      <c r="E18" s="6" t="n">
        <v>0.98</v>
      </c>
      <c r="F18" s="5" t="inlineStr">
        <is>
          <t>C</t>
        </is>
      </c>
      <c r="G18" s="14" t="inlineStr">
        <is>
          <t>Heavy snow region</t>
        </is>
      </c>
    </row>
    <row r="19">
      <c r="B19" s="15" t="inlineStr">
        <is>
          <t>16</t>
        </is>
      </c>
      <c r="C19" s="9" t="inlineStr">
        <is>
          <t>富山 Toyama</t>
        </is>
      </c>
      <c r="D19" s="6" t="n">
        <v>0.95</v>
      </c>
      <c r="E19" s="6" t="n">
        <v>0.97</v>
      </c>
      <c r="F19" s="8" t="inlineStr">
        <is>
          <t>C</t>
        </is>
      </c>
      <c r="G19" s="16" t="inlineStr">
        <is>
          <t>Snow region</t>
        </is>
      </c>
    </row>
    <row r="20">
      <c r="B20" s="13" t="inlineStr">
        <is>
          <t>17</t>
        </is>
      </c>
      <c r="C20" s="10" t="inlineStr">
        <is>
          <t>石川 Ishikawa</t>
        </is>
      </c>
      <c r="D20" s="6" t="n">
        <v>0.97</v>
      </c>
      <c r="E20" s="6" t="n">
        <v>0.99</v>
      </c>
      <c r="F20" s="5" t="inlineStr">
        <is>
          <t>C</t>
        </is>
      </c>
      <c r="G20" s="14" t="inlineStr">
        <is>
          <t>Kanazawa — mid-density</t>
        </is>
      </c>
    </row>
    <row r="21">
      <c r="B21" s="15" t="inlineStr">
        <is>
          <t>18</t>
        </is>
      </c>
      <c r="C21" s="9" t="inlineStr">
        <is>
          <t>福井 Fukui</t>
        </is>
      </c>
      <c r="D21" s="6" t="n">
        <v>0.93</v>
      </c>
      <c r="E21" s="6" t="n">
        <v>0.95</v>
      </c>
      <c r="F21" s="8" t="inlineStr">
        <is>
          <t>C</t>
        </is>
      </c>
      <c r="G21" s="9" t="inlineStr"/>
    </row>
    <row r="22">
      <c r="B22" s="13" t="inlineStr">
        <is>
          <t>19</t>
        </is>
      </c>
      <c r="C22" s="10" t="inlineStr">
        <is>
          <t>山梨 Yamanashi</t>
        </is>
      </c>
      <c r="D22" s="6" t="n">
        <v>0.96</v>
      </c>
      <c r="E22" s="6" t="n">
        <v>0.98</v>
      </c>
      <c r="F22" s="5" t="inlineStr">
        <is>
          <t>C</t>
        </is>
      </c>
      <c r="G22" s="10" t="inlineStr"/>
    </row>
    <row r="23">
      <c r="B23" s="15" t="inlineStr">
        <is>
          <t>20</t>
        </is>
      </c>
      <c r="C23" s="9" t="inlineStr">
        <is>
          <t>長野 Nagano</t>
        </is>
      </c>
      <c r="D23" s="6" t="n">
        <v>0.9399999999999999</v>
      </c>
      <c r="E23" s="6" t="n">
        <v>0.96</v>
      </c>
      <c r="F23" s="8" t="inlineStr">
        <is>
          <t>C</t>
        </is>
      </c>
      <c r="G23" s="16" t="inlineStr">
        <is>
          <t>Mountain terrain</t>
        </is>
      </c>
    </row>
    <row r="24">
      <c r="B24" s="13" t="inlineStr">
        <is>
          <t>21</t>
        </is>
      </c>
      <c r="C24" s="10" t="inlineStr">
        <is>
          <t>岐阜 Gifu</t>
        </is>
      </c>
      <c r="D24" s="6" t="n">
        <v>0.97</v>
      </c>
      <c r="E24" s="6" t="n">
        <v>0.99</v>
      </c>
      <c r="F24" s="5" t="inlineStr">
        <is>
          <t>C</t>
        </is>
      </c>
      <c r="G24" s="10" t="inlineStr"/>
    </row>
    <row r="25">
      <c r="B25" s="15" t="inlineStr">
        <is>
          <t>22</t>
        </is>
      </c>
      <c r="C25" s="9" t="inlineStr">
        <is>
          <t>静岡 Shizuoka</t>
        </is>
      </c>
      <c r="D25" s="6" t="n">
        <v>1.01</v>
      </c>
      <c r="E25" s="6" t="n">
        <v>1.03</v>
      </c>
      <c r="F25" s="8" t="inlineStr">
        <is>
          <t>B</t>
        </is>
      </c>
      <c r="G25" s="16" t="inlineStr">
        <is>
          <t>Industrial corridor</t>
        </is>
      </c>
    </row>
    <row r="26">
      <c r="B26" s="13" t="inlineStr">
        <is>
          <t>23</t>
        </is>
      </c>
      <c r="C26" s="10" t="inlineStr">
        <is>
          <t>愛知 Aichi</t>
        </is>
      </c>
      <c r="D26" s="6" t="n">
        <v>1.1</v>
      </c>
      <c r="E26" s="6" t="n">
        <v>1.13</v>
      </c>
      <c r="F26" s="5" t="inlineStr">
        <is>
          <t>A</t>
        </is>
      </c>
      <c r="G26" s="14" t="inlineStr">
        <is>
          <t>Nagoya — auto industry, high claims</t>
        </is>
      </c>
    </row>
    <row r="27">
      <c r="B27" s="15" t="inlineStr">
        <is>
          <t>24</t>
        </is>
      </c>
      <c r="C27" s="9" t="inlineStr">
        <is>
          <t>三重 Mie</t>
        </is>
      </c>
      <c r="D27" s="6" t="n">
        <v>0.98</v>
      </c>
      <c r="E27" s="6" t="n">
        <v>1</v>
      </c>
      <c r="F27" s="8" t="inlineStr">
        <is>
          <t>B</t>
        </is>
      </c>
      <c r="G27" s="9" t="inlineStr"/>
    </row>
    <row r="28">
      <c r="B28" s="13" t="inlineStr">
        <is>
          <t>25</t>
        </is>
      </c>
      <c r="C28" s="10" t="inlineStr">
        <is>
          <t>滋賀 Shiga</t>
        </is>
      </c>
      <c r="D28" s="6" t="n">
        <v>0.99</v>
      </c>
      <c r="E28" s="6" t="n">
        <v>1.01</v>
      </c>
      <c r="F28" s="5" t="inlineStr">
        <is>
          <t>B</t>
        </is>
      </c>
      <c r="G28" s="10" t="inlineStr"/>
    </row>
    <row r="29">
      <c r="B29" s="15" t="inlineStr">
        <is>
          <t>26</t>
        </is>
      </c>
      <c r="C29" s="9" t="inlineStr">
        <is>
          <t>京都 Kyoto</t>
        </is>
      </c>
      <c r="D29" s="6" t="n">
        <v>1.04</v>
      </c>
      <c r="E29" s="6" t="n">
        <v>1.06</v>
      </c>
      <c r="F29" s="8" t="inlineStr">
        <is>
          <t>B</t>
        </is>
      </c>
      <c r="G29" s="16" t="inlineStr">
        <is>
          <t>Tourism congestion</t>
        </is>
      </c>
    </row>
    <row r="30">
      <c r="B30" s="13" t="inlineStr">
        <is>
          <t>27</t>
        </is>
      </c>
      <c r="C30" s="10" t="inlineStr">
        <is>
          <t>大阪 Osaka</t>
        </is>
      </c>
      <c r="D30" s="6" t="n">
        <v>1.13</v>
      </c>
      <c r="E30" s="6" t="n">
        <v>1.15</v>
      </c>
      <c r="F30" s="5" t="inlineStr">
        <is>
          <t>S</t>
        </is>
      </c>
      <c r="G30" s="14" t="inlineStr">
        <is>
          <t>High urban density — 2nd largest metro</t>
        </is>
      </c>
    </row>
    <row r="31">
      <c r="B31" s="15" t="inlineStr">
        <is>
          <t>28</t>
        </is>
      </c>
      <c r="C31" s="9" t="inlineStr">
        <is>
          <t>兵庫 Hyogo</t>
        </is>
      </c>
      <c r="D31" s="6" t="n">
        <v>1.08</v>
      </c>
      <c r="E31" s="6" t="n">
        <v>1.1</v>
      </c>
      <c r="F31" s="8" t="inlineStr">
        <is>
          <t>A</t>
        </is>
      </c>
      <c r="G31" s="16" t="inlineStr">
        <is>
          <t>Kobe/Hanshin corridor</t>
        </is>
      </c>
    </row>
    <row r="32">
      <c r="B32" s="13" t="inlineStr">
        <is>
          <t>29</t>
        </is>
      </c>
      <c r="C32" s="10" t="inlineStr">
        <is>
          <t>奈良 Nara</t>
        </is>
      </c>
      <c r="D32" s="6" t="n">
        <v>0.99</v>
      </c>
      <c r="E32" s="6" t="n">
        <v>1.01</v>
      </c>
      <c r="F32" s="5" t="inlineStr">
        <is>
          <t>B</t>
        </is>
      </c>
      <c r="G32" s="10" t="inlineStr"/>
    </row>
    <row r="33">
      <c r="B33" s="15" t="inlineStr">
        <is>
          <t>30</t>
        </is>
      </c>
      <c r="C33" s="9" t="inlineStr">
        <is>
          <t>和歌山 Wakayama</t>
        </is>
      </c>
      <c r="D33" s="6" t="n">
        <v>0.9399999999999999</v>
      </c>
      <c r="E33" s="6" t="n">
        <v>0.96</v>
      </c>
      <c r="F33" s="8" t="inlineStr">
        <is>
          <t>C</t>
        </is>
      </c>
      <c r="G33" s="9" t="inlineStr"/>
    </row>
    <row r="34">
      <c r="B34" s="13" t="inlineStr">
        <is>
          <t>31</t>
        </is>
      </c>
      <c r="C34" s="10" t="inlineStr">
        <is>
          <t>鳥取 Tottori</t>
        </is>
      </c>
      <c r="D34" s="6" t="n">
        <v>0.9</v>
      </c>
      <c r="E34" s="6" t="n">
        <v>0.92</v>
      </c>
      <c r="F34" s="5" t="inlineStr">
        <is>
          <t>D</t>
        </is>
      </c>
      <c r="G34" s="14" t="inlineStr">
        <is>
          <t>Lowest density prefecture</t>
        </is>
      </c>
    </row>
    <row r="35">
      <c r="B35" s="15" t="inlineStr">
        <is>
          <t>32</t>
        </is>
      </c>
      <c r="C35" s="9" t="inlineStr">
        <is>
          <t>島根 Shimane</t>
        </is>
      </c>
      <c r="D35" s="6" t="n">
        <v>0.91</v>
      </c>
      <c r="E35" s="6" t="n">
        <v>0.93</v>
      </c>
      <c r="F35" s="8" t="inlineStr">
        <is>
          <t>D</t>
        </is>
      </c>
      <c r="G35" s="9" t="inlineStr"/>
    </row>
    <row r="36">
      <c r="B36" s="13" t="inlineStr">
        <is>
          <t>33</t>
        </is>
      </c>
      <c r="C36" s="10" t="inlineStr">
        <is>
          <t>岡山 Okayama</t>
        </is>
      </c>
      <c r="D36" s="6" t="n">
        <v>0.99</v>
      </c>
      <c r="E36" s="6" t="n">
        <v>1.01</v>
      </c>
      <c r="F36" s="5" t="inlineStr">
        <is>
          <t>B</t>
        </is>
      </c>
      <c r="G36" s="10" t="inlineStr"/>
    </row>
    <row r="37">
      <c r="B37" s="15" t="inlineStr">
        <is>
          <t>34</t>
        </is>
      </c>
      <c r="C37" s="9" t="inlineStr">
        <is>
          <t>広島 Hiroshima</t>
        </is>
      </c>
      <c r="D37" s="6" t="n">
        <v>1.02</v>
      </c>
      <c r="E37" s="6" t="n">
        <v>1.04</v>
      </c>
      <c r="F37" s="8" t="inlineStr">
        <is>
          <t>B</t>
        </is>
      </c>
      <c r="G37" s="9" t="inlineStr"/>
    </row>
    <row r="38">
      <c r="B38" s="13" t="inlineStr">
        <is>
          <t>35</t>
        </is>
      </c>
      <c r="C38" s="10" t="inlineStr">
        <is>
          <t>山口 Yamaguchi</t>
        </is>
      </c>
      <c r="D38" s="6" t="n">
        <v>0.95</v>
      </c>
      <c r="E38" s="6" t="n">
        <v>0.97</v>
      </c>
      <c r="F38" s="5" t="inlineStr">
        <is>
          <t>C</t>
        </is>
      </c>
      <c r="G38" s="10" t="inlineStr"/>
    </row>
    <row r="39">
      <c r="B39" s="15" t="inlineStr">
        <is>
          <t>36</t>
        </is>
      </c>
      <c r="C39" s="9" t="inlineStr">
        <is>
          <t>徳島 Tokushima</t>
        </is>
      </c>
      <c r="D39" s="6" t="n">
        <v>0.93</v>
      </c>
      <c r="E39" s="6" t="n">
        <v>0.95</v>
      </c>
      <c r="F39" s="8" t="inlineStr">
        <is>
          <t>C</t>
        </is>
      </c>
      <c r="G39" s="9" t="inlineStr"/>
    </row>
    <row r="40">
      <c r="B40" s="13" t="inlineStr">
        <is>
          <t>37</t>
        </is>
      </c>
      <c r="C40" s="10" t="inlineStr">
        <is>
          <t>香川 Kagawa</t>
        </is>
      </c>
      <c r="D40" s="6" t="n">
        <v>0.96</v>
      </c>
      <c r="E40" s="6" t="n">
        <v>0.98</v>
      </c>
      <c r="F40" s="5" t="inlineStr">
        <is>
          <t>C</t>
        </is>
      </c>
      <c r="G40" s="10" t="inlineStr"/>
    </row>
    <row r="41">
      <c r="B41" s="15" t="inlineStr">
        <is>
          <t>38</t>
        </is>
      </c>
      <c r="C41" s="9" t="inlineStr">
        <is>
          <t>愛媛 Ehime</t>
        </is>
      </c>
      <c r="D41" s="6" t="n">
        <v>0.95</v>
      </c>
      <c r="E41" s="6" t="n">
        <v>0.97</v>
      </c>
      <c r="F41" s="8" t="inlineStr">
        <is>
          <t>C</t>
        </is>
      </c>
      <c r="G41" s="9" t="inlineStr"/>
    </row>
    <row r="42">
      <c r="B42" s="13" t="inlineStr">
        <is>
          <t>39</t>
        </is>
      </c>
      <c r="C42" s="10" t="inlineStr">
        <is>
          <t>高知 Kochi</t>
        </is>
      </c>
      <c r="D42" s="6" t="n">
        <v>0.92</v>
      </c>
      <c r="E42" s="6" t="n">
        <v>0.9399999999999999</v>
      </c>
      <c r="F42" s="5" t="inlineStr">
        <is>
          <t>D</t>
        </is>
      </c>
      <c r="G42" s="10" t="inlineStr"/>
    </row>
    <row r="43">
      <c r="B43" s="15" t="inlineStr">
        <is>
          <t>40</t>
        </is>
      </c>
      <c r="C43" s="9" t="inlineStr">
        <is>
          <t>福岡 Fukuoka</t>
        </is>
      </c>
      <c r="D43" s="6" t="n">
        <v>1.09</v>
      </c>
      <c r="E43" s="6" t="n">
        <v>1.11</v>
      </c>
      <c r="F43" s="8" t="inlineStr">
        <is>
          <t>A</t>
        </is>
      </c>
      <c r="G43" s="16" t="inlineStr">
        <is>
          <t>Largest Kyushu metro</t>
        </is>
      </c>
    </row>
    <row r="44">
      <c r="B44" s="13" t="inlineStr">
        <is>
          <t>41</t>
        </is>
      </c>
      <c r="C44" s="10" t="inlineStr">
        <is>
          <t>佐賀 Saga</t>
        </is>
      </c>
      <c r="D44" s="6" t="n">
        <v>0.9399999999999999</v>
      </c>
      <c r="E44" s="6" t="n">
        <v>0.96</v>
      </c>
      <c r="F44" s="5" t="inlineStr">
        <is>
          <t>C</t>
        </is>
      </c>
      <c r="G44" s="10" t="inlineStr"/>
    </row>
    <row r="45">
      <c r="B45" s="15" t="inlineStr">
        <is>
          <t>42</t>
        </is>
      </c>
      <c r="C45" s="9" t="inlineStr">
        <is>
          <t>長崎 Nagasaki</t>
        </is>
      </c>
      <c r="D45" s="6" t="n">
        <v>0.95</v>
      </c>
      <c r="E45" s="6" t="n">
        <v>0.97</v>
      </c>
      <c r="F45" s="8" t="inlineStr">
        <is>
          <t>C</t>
        </is>
      </c>
      <c r="G45" s="16" t="inlineStr">
        <is>
          <t>Complex road network</t>
        </is>
      </c>
    </row>
    <row r="46">
      <c r="B46" s="13" t="inlineStr">
        <is>
          <t>43</t>
        </is>
      </c>
      <c r="C46" s="10" t="inlineStr">
        <is>
          <t>熊本 Kumamoto</t>
        </is>
      </c>
      <c r="D46" s="6" t="n">
        <v>0.97</v>
      </c>
      <c r="E46" s="6" t="n">
        <v>0.99</v>
      </c>
      <c r="F46" s="5" t="inlineStr">
        <is>
          <t>C</t>
        </is>
      </c>
      <c r="G46" s="10" t="inlineStr"/>
    </row>
    <row r="47">
      <c r="B47" s="15" t="inlineStr">
        <is>
          <t>44</t>
        </is>
      </c>
      <c r="C47" s="9" t="inlineStr">
        <is>
          <t>大分 Oita</t>
        </is>
      </c>
      <c r="D47" s="6" t="n">
        <v>0.9399999999999999</v>
      </c>
      <c r="E47" s="6" t="n">
        <v>0.96</v>
      </c>
      <c r="F47" s="8" t="inlineStr">
        <is>
          <t>C</t>
        </is>
      </c>
      <c r="G47" s="9" t="inlineStr"/>
    </row>
    <row r="48">
      <c r="B48" s="13" t="inlineStr">
        <is>
          <t>45</t>
        </is>
      </c>
      <c r="C48" s="10" t="inlineStr">
        <is>
          <t>宮崎 Miyazaki</t>
        </is>
      </c>
      <c r="D48" s="6" t="n">
        <v>0.93</v>
      </c>
      <c r="E48" s="6" t="n">
        <v>0.95</v>
      </c>
      <c r="F48" s="5" t="inlineStr">
        <is>
          <t>C</t>
        </is>
      </c>
      <c r="G48" s="10" t="inlineStr"/>
    </row>
    <row r="49">
      <c r="B49" s="15" t="inlineStr">
        <is>
          <t>46</t>
        </is>
      </c>
      <c r="C49" s="9" t="inlineStr">
        <is>
          <t>鹿児島 Kagoshima</t>
        </is>
      </c>
      <c r="D49" s="6" t="n">
        <v>0.9399999999999999</v>
      </c>
      <c r="E49" s="6" t="n">
        <v>0.96</v>
      </c>
      <c r="F49" s="8" t="inlineStr">
        <is>
          <t>C</t>
        </is>
      </c>
      <c r="G49" s="9" t="inlineStr"/>
    </row>
    <row r="50">
      <c r="B50" s="13" t="inlineStr">
        <is>
          <t>47</t>
        </is>
      </c>
      <c r="C50" s="10" t="inlineStr">
        <is>
          <t>沖縄 Okinawa</t>
        </is>
      </c>
      <c r="D50" s="6" t="n">
        <v>1.03</v>
      </c>
      <c r="E50" s="6" t="n">
        <v>1.06</v>
      </c>
      <c r="F50" s="5" t="inlineStr">
        <is>
          <t>B</t>
        </is>
      </c>
      <c r="G50" s="14" t="inlineStr">
        <is>
          <t>High repair cost — parts logistics</t>
        </is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30" customHeight="1">
      <c r="B1" s="1" t="inlineStr">
        <is>
          <t>用途・車種別係数 — Vehicle Type &amp; Class Rating Factors</t>
        </is>
      </c>
    </row>
    <row r="3" ht="36" customHeight="1">
      <c r="B3" s="3" t="inlineStr">
        <is>
          <t>車種区分
Vehicle Category</t>
        </is>
      </c>
      <c r="C3" s="3" t="inlineStr">
        <is>
          <t>排気量
Displacement</t>
        </is>
      </c>
      <c r="D3" s="3" t="inlineStr">
        <is>
          <t>対人・対物
BI/PD Factor</t>
        </is>
      </c>
      <c r="E3" s="3" t="inlineStr">
        <is>
          <t>車両保険
Vehicle Factor</t>
        </is>
      </c>
      <c r="F3" s="3" t="inlineStr">
        <is>
          <t>料率クラス
Rating Class</t>
        </is>
      </c>
      <c r="G3" s="4" t="inlineStr">
        <is>
          <t>備考 Notes</t>
        </is>
      </c>
    </row>
    <row r="4">
      <c r="B4" s="10" t="inlineStr">
        <is>
          <t>軽四輪乗用車 Kei car</t>
        </is>
      </c>
      <c r="C4" s="13" t="inlineStr">
        <is>
          <t>〜660cc</t>
        </is>
      </c>
      <c r="D4" s="6" t="n">
        <v>0.85</v>
      </c>
      <c r="E4" s="6" t="n">
        <v>0.8</v>
      </c>
      <c r="F4" s="5" t="n">
        <v>1</v>
      </c>
      <c r="G4" s="10" t="inlineStr">
        <is>
          <t>Light car — lower mass</t>
        </is>
      </c>
    </row>
    <row r="5">
      <c r="B5" s="9" t="inlineStr">
        <is>
          <t>小型乗用車 Small</t>
        </is>
      </c>
      <c r="C5" s="15" t="inlineStr">
        <is>
          <t>661〜1,000cc</t>
        </is>
      </c>
      <c r="D5" s="6" t="n">
        <v>0.92</v>
      </c>
      <c r="E5" s="6" t="n">
        <v>0.88</v>
      </c>
      <c r="F5" s="8" t="n">
        <v>3</v>
      </c>
      <c r="G5" s="9" t="inlineStr">
        <is>
          <t>Economy class</t>
        </is>
      </c>
    </row>
    <row r="6">
      <c r="B6" s="10" t="inlineStr">
        <is>
          <t>小型乗用車 Small</t>
        </is>
      </c>
      <c r="C6" s="13" t="inlineStr">
        <is>
          <t>1,001〜1,500cc</t>
        </is>
      </c>
      <c r="D6" s="6" t="n">
        <v>1</v>
      </c>
      <c r="E6" s="6" t="n">
        <v>1</v>
      </c>
      <c r="F6" s="5" t="n">
        <v>5</v>
      </c>
      <c r="G6" s="10" t="inlineStr">
        <is>
          <t>Standard base class</t>
        </is>
      </c>
    </row>
    <row r="7">
      <c r="B7" s="9" t="inlineStr">
        <is>
          <t>普通乗用車 Standard</t>
        </is>
      </c>
      <c r="C7" s="15" t="inlineStr">
        <is>
          <t>1,501〜2,000cc</t>
        </is>
      </c>
      <c r="D7" s="6" t="n">
        <v>1.05</v>
      </c>
      <c r="E7" s="6" t="n">
        <v>1.08</v>
      </c>
      <c r="F7" s="8" t="n">
        <v>7</v>
      </c>
      <c r="G7" s="9" t="inlineStr">
        <is>
          <t>Family sedan/SUV</t>
        </is>
      </c>
    </row>
    <row r="8">
      <c r="B8" s="10" t="inlineStr">
        <is>
          <t>普通乗用車 Standard</t>
        </is>
      </c>
      <c r="C8" s="13" t="inlineStr">
        <is>
          <t>2,001〜2,500cc</t>
        </is>
      </c>
      <c r="D8" s="6" t="n">
        <v>1.1</v>
      </c>
      <c r="E8" s="6" t="n">
        <v>1.15</v>
      </c>
      <c r="F8" s="5" t="n">
        <v>9</v>
      </c>
      <c r="G8" s="10" t="inlineStr">
        <is>
          <t>Mid-size</t>
        </is>
      </c>
    </row>
    <row r="9">
      <c r="B9" s="9" t="inlineStr">
        <is>
          <t>普通乗用車 Standard</t>
        </is>
      </c>
      <c r="C9" s="15" t="inlineStr">
        <is>
          <t>2,501〜3,000cc</t>
        </is>
      </c>
      <c r="D9" s="6" t="n">
        <v>1.18</v>
      </c>
      <c r="E9" s="6" t="n">
        <v>1.25</v>
      </c>
      <c r="F9" s="8" t="n">
        <v>11</v>
      </c>
      <c r="G9" s="9" t="inlineStr">
        <is>
          <t>Large displacement</t>
        </is>
      </c>
    </row>
    <row r="10">
      <c r="B10" s="10" t="inlineStr">
        <is>
          <t>普通乗用車 Large</t>
        </is>
      </c>
      <c r="C10" s="13" t="inlineStr">
        <is>
          <t>3,001cc〜</t>
        </is>
      </c>
      <c r="D10" s="6" t="n">
        <v>1.28</v>
      </c>
      <c r="E10" s="6" t="n">
        <v>1.4</v>
      </c>
      <c r="F10" s="5" t="n">
        <v>13</v>
      </c>
      <c r="G10" s="10" t="inlineStr">
        <is>
          <t>Premium/luxury</t>
        </is>
      </c>
    </row>
    <row r="11">
      <c r="B11" s="9" t="inlineStr">
        <is>
          <t>スポーツカー Sports</t>
        </is>
      </c>
      <c r="C11" s="15" t="inlineStr">
        <is>
          <t>全排気量 All</t>
        </is>
      </c>
      <c r="D11" s="6" t="n">
        <v>1.35</v>
      </c>
      <c r="E11" s="6" t="n">
        <v>1.45</v>
      </c>
      <c r="F11" s="8" t="n">
        <v>15</v>
      </c>
      <c r="G11" s="9" t="inlineStr">
        <is>
          <t>Higher accident severity</t>
        </is>
      </c>
    </row>
    <row r="12">
      <c r="B12" s="10" t="inlineStr">
        <is>
          <t>ミニバン Minivan</t>
        </is>
      </c>
      <c r="C12" s="13" t="inlineStr">
        <is>
          <t>全排気量 All</t>
        </is>
      </c>
      <c r="D12" s="6" t="n">
        <v>1.02</v>
      </c>
      <c r="E12" s="6" t="n">
        <v>1.05</v>
      </c>
      <c r="F12" s="5" t="n">
        <v>6</v>
      </c>
      <c r="G12" s="10" t="inlineStr">
        <is>
          <t>Family use — good safety</t>
        </is>
      </c>
    </row>
    <row r="13">
      <c r="B13" s="9" t="inlineStr">
        <is>
          <t>SUV</t>
        </is>
      </c>
      <c r="C13" s="15" t="inlineStr">
        <is>
          <t>全排気量 All</t>
        </is>
      </c>
      <c r="D13" s="6" t="n">
        <v>1.08</v>
      </c>
      <c r="E13" s="6" t="n">
        <v>1.12</v>
      </c>
      <c r="F13" s="8" t="n">
        <v>8</v>
      </c>
      <c r="G13" s="9" t="inlineStr">
        <is>
          <t>Higher repair cost</t>
        </is>
      </c>
    </row>
    <row r="14">
      <c r="B14" s="10" t="inlineStr">
        <is>
          <t>電気自動車 EV</t>
        </is>
      </c>
      <c r="C14" s="13" t="inlineStr">
        <is>
          <t>BEV/PHEV</t>
        </is>
      </c>
      <c r="D14" s="6" t="n">
        <v>0.95</v>
      </c>
      <c r="E14" s="6" t="n">
        <v>1.2</v>
      </c>
      <c r="F14" s="5" t="n">
        <v>6</v>
      </c>
      <c r="G14" s="10" t="inlineStr">
        <is>
          <t>Low BI risk; high repair cost</t>
        </is>
      </c>
    </row>
    <row r="15">
      <c r="B15" s="9" t="inlineStr">
        <is>
          <t>自家用貨物車 Truck</t>
        </is>
      </c>
      <c r="C15" s="15" t="inlineStr">
        <is>
          <t>〜1トン積</t>
        </is>
      </c>
      <c r="D15" s="6" t="n">
        <v>1.15</v>
      </c>
      <c r="E15" s="6" t="n">
        <v>1.1</v>
      </c>
      <c r="F15" s="8" t="n">
        <v>10</v>
      </c>
      <c r="G15" s="9" t="inlineStr">
        <is>
          <t>Commercial-adjacent</t>
        </is>
      </c>
    </row>
    <row r="16">
      <c r="B16" s="10" t="inlineStr">
        <is>
          <t>業務用乗用車 Business</t>
        </is>
      </c>
      <c r="C16" s="13" t="inlineStr">
        <is>
          <t>全排気量 All</t>
        </is>
      </c>
      <c r="D16" s="6" t="n">
        <v>1.25</v>
      </c>
      <c r="E16" s="6" t="n">
        <v>1.2</v>
      </c>
      <c r="F16" s="5" t="n">
        <v>12</v>
      </c>
      <c r="G16" s="10" t="inlineStr">
        <is>
          <t>High annual mileage</t>
        </is>
      </c>
    </row>
  </sheetData>
  <mergeCells count="1"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30" customHeight="1">
      <c r="B1" s="1" t="inlineStr">
        <is>
          <t>運転者限定係数 — Driver Restriction Discount Factors</t>
        </is>
      </c>
    </row>
    <row r="3" ht="36" customHeight="1">
      <c r="B3" s="3" t="inlineStr">
        <is>
          <t>運転者限定区分
Driver Restriction Type</t>
        </is>
      </c>
      <c r="C3" s="3" t="inlineStr">
        <is>
          <t>対人・対物
BI/PD</t>
        </is>
      </c>
      <c r="D3" s="3" t="inlineStr">
        <is>
          <t>車両保険
Vehicle</t>
        </is>
      </c>
      <c r="E3" s="3" t="inlineStr">
        <is>
          <t>搭乗者傷害
Passenger</t>
        </is>
      </c>
      <c r="F3" s="4" t="inlineStr">
        <is>
          <t>備考 Notes</t>
        </is>
      </c>
    </row>
    <row r="4">
      <c r="B4" s="10" t="inlineStr">
        <is>
          <t>限定なし (No restriction — any driver)</t>
        </is>
      </c>
      <c r="C4" s="6" t="n">
        <v>1</v>
      </c>
      <c r="D4" s="6" t="n">
        <v>1</v>
      </c>
      <c r="E4" s="6" t="n">
        <v>1</v>
      </c>
      <c r="F4" s="10" t="inlineStr">
        <is>
          <t>Base — anyone may drive</t>
        </is>
      </c>
    </row>
    <row r="5">
      <c r="B5" s="9" t="inlineStr">
        <is>
          <t>家族限定 (Family restriction)</t>
        </is>
      </c>
      <c r="C5" s="6" t="n">
        <v>0.93</v>
      </c>
      <c r="D5" s="6" t="n">
        <v>0.9399999999999999</v>
      </c>
      <c r="E5" s="6" t="n">
        <v>0.95</v>
      </c>
      <c r="F5" s="9" t="inlineStr">
        <is>
          <t>Household members only</t>
        </is>
      </c>
    </row>
    <row r="6">
      <c r="B6" s="10" t="inlineStr">
        <is>
          <t>本人・配偶者限定 (Policyholder + spouse)</t>
        </is>
      </c>
      <c r="C6" s="6" t="n">
        <v>0.88</v>
      </c>
      <c r="D6" s="6" t="n">
        <v>0.9</v>
      </c>
      <c r="E6" s="6" t="n">
        <v>0.92</v>
      </c>
      <c r="F6" s="10" t="inlineStr">
        <is>
          <t>Two named drivers</t>
        </is>
      </c>
    </row>
    <row r="7">
      <c r="B7" s="9" t="inlineStr">
        <is>
          <t>本人限定 (Policyholder only)</t>
        </is>
      </c>
      <c r="C7" s="6" t="n">
        <v>0.83</v>
      </c>
      <c r="D7" s="6" t="n">
        <v>0.85</v>
      </c>
      <c r="E7" s="6" t="n">
        <v>0.88</v>
      </c>
      <c r="F7" s="9" t="inlineStr">
        <is>
          <t>Single driver — max discount</t>
        </is>
      </c>
    </row>
  </sheetData>
  <mergeCells count="1"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B1" s="1" t="inlineStr">
        <is>
          <t>基本保険料テーブル — Annual Base Premium Table (JPY ¥)</t>
        </is>
      </c>
    </row>
    <row r="2">
      <c r="B2" s="2" t="inlineStr">
        <is>
          <t>Base premiums per coverage × vehicle class. Amounts in Japanese Yen (¥).</t>
        </is>
      </c>
    </row>
    <row r="4" ht="36" customHeight="1">
      <c r="B4" s="3" t="inlineStr">
        <is>
          <t>保険種類
Coverage Type</t>
        </is>
      </c>
      <c r="C4" s="3" t="inlineStr">
        <is>
          <t>クラス 1
Class 1</t>
        </is>
      </c>
      <c r="D4" s="3" t="inlineStr">
        <is>
          <t>クラス 3
Class 3</t>
        </is>
      </c>
      <c r="E4" s="3" t="inlineStr">
        <is>
          <t>クラス 5
Class 5</t>
        </is>
      </c>
      <c r="F4" s="3" t="inlineStr">
        <is>
          <t>クラス 7
Class 7</t>
        </is>
      </c>
      <c r="G4" s="3" t="inlineStr">
        <is>
          <t>クラス 9
Class 9</t>
        </is>
      </c>
      <c r="H4" s="3" t="inlineStr">
        <is>
          <t>クラス 11
Class 11</t>
        </is>
      </c>
    </row>
    <row r="5">
      <c r="B5" s="11" t="inlineStr">
        <is>
          <t>対人賠償 Bodily Injury Liability</t>
        </is>
      </c>
      <c r="C5" s="17" t="n">
        <v>28000</v>
      </c>
      <c r="D5" s="17" t="n">
        <v>32000</v>
      </c>
      <c r="E5" s="17" t="n">
        <v>38000</v>
      </c>
      <c r="F5" s="17" t="n">
        <v>46000</v>
      </c>
      <c r="G5" s="17" t="n">
        <v>56000</v>
      </c>
      <c r="H5" s="17" t="n">
        <v>70000</v>
      </c>
    </row>
    <row r="6">
      <c r="B6" s="12" t="inlineStr">
        <is>
          <t>対物賠償 Property Damage Liability</t>
        </is>
      </c>
      <c r="C6" s="17" t="n">
        <v>22000</v>
      </c>
      <c r="D6" s="17" t="n">
        <v>26000</v>
      </c>
      <c r="E6" s="17" t="n">
        <v>31000</v>
      </c>
      <c r="F6" s="17" t="n">
        <v>38000</v>
      </c>
      <c r="G6" s="17" t="n">
        <v>47000</v>
      </c>
      <c r="H6" s="17" t="n">
        <v>58000</v>
      </c>
    </row>
    <row r="7">
      <c r="B7" s="11" t="inlineStr">
        <is>
          <t>車両保険 Vehicle Damage/Comp</t>
        </is>
      </c>
      <c r="C7" s="17" t="n">
        <v>45000</v>
      </c>
      <c r="D7" s="17" t="n">
        <v>55000</v>
      </c>
      <c r="E7" s="17" t="n">
        <v>68000</v>
      </c>
      <c r="F7" s="17" t="n">
        <v>84000</v>
      </c>
      <c r="G7" s="17" t="n">
        <v>105000</v>
      </c>
      <c r="H7" s="17" t="n">
        <v>130000</v>
      </c>
    </row>
    <row r="8">
      <c r="B8" s="12" t="inlineStr">
        <is>
          <t>搭乗者傷害 Passenger Injury</t>
        </is>
      </c>
      <c r="C8" s="17" t="n">
        <v>8000</v>
      </c>
      <c r="D8" s="17" t="n">
        <v>9500</v>
      </c>
      <c r="E8" s="17" t="n">
        <v>11000</v>
      </c>
      <c r="F8" s="17" t="n">
        <v>13000</v>
      </c>
      <c r="G8" s="17" t="n">
        <v>15500</v>
      </c>
      <c r="H8" s="17" t="n">
        <v>18000</v>
      </c>
    </row>
    <row r="9">
      <c r="B9" s="11" t="inlineStr">
        <is>
          <t>自損事故 Single-car accident</t>
        </is>
      </c>
      <c r="C9" s="17" t="n">
        <v>5000</v>
      </c>
      <c r="D9" s="17" t="n">
        <v>6000</v>
      </c>
      <c r="E9" s="17" t="n">
        <v>7000</v>
      </c>
      <c r="F9" s="17" t="n">
        <v>8500</v>
      </c>
      <c r="G9" s="17" t="n">
        <v>10000</v>
      </c>
      <c r="H9" s="17" t="n">
        <v>12000</v>
      </c>
    </row>
  </sheetData>
  <mergeCells count="2">
    <mergeCell ref="B2:G2"/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  <col width="20" customWidth="1" min="4" max="4"/>
    <col width="4" customWidth="1" min="5" max="5"/>
  </cols>
  <sheetData>
    <row r="1" ht="30" customHeight="1">
      <c r="B1" s="1" t="inlineStr">
        <is>
          <t>サンプル保険料計算 — Sample Premium Calculation</t>
        </is>
      </c>
    </row>
    <row r="3">
      <c r="B3" s="4" t="inlineStr">
        <is>
          <t>INPUT — 契約情報</t>
        </is>
      </c>
      <c r="C3" s="18" t="n"/>
      <c r="D3" s="4" t="inlineStr">
        <is>
          <t>Value</t>
        </is>
      </c>
    </row>
    <row r="4">
      <c r="B4" s="19" t="inlineStr">
        <is>
          <t>運転者年齢 Driver age</t>
        </is>
      </c>
      <c r="C4" s="20" t="inlineStr">
        <is>
          <t>35歳</t>
        </is>
      </c>
    </row>
    <row r="5">
      <c r="B5" s="19" t="inlineStr">
        <is>
          <t>年齢条件 Age condition</t>
        </is>
      </c>
      <c r="C5" s="20" t="inlineStr">
        <is>
          <t>35歳以上担保 (35+)</t>
        </is>
      </c>
    </row>
    <row r="6">
      <c r="B6" s="19" t="inlineStr">
        <is>
          <t>等級 NCD Grade</t>
        </is>
      </c>
      <c r="C6" s="20" t="inlineStr">
        <is>
          <t>14</t>
        </is>
      </c>
    </row>
    <row r="7">
      <c r="B7" s="19" t="inlineStr">
        <is>
          <t>都道府県 Prefecture</t>
        </is>
      </c>
      <c r="C7" s="20" t="inlineStr">
        <is>
          <t>東京 Tokyo (13)</t>
        </is>
      </c>
    </row>
    <row r="8">
      <c r="B8" s="19" t="inlineStr">
        <is>
          <t>車種 Vehicle class</t>
        </is>
      </c>
      <c r="C8" s="20" t="inlineStr">
        <is>
          <t>普通乗用車 1,501〜2,000cc — Class 7</t>
        </is>
      </c>
    </row>
    <row r="9">
      <c r="B9" s="19" t="inlineStr">
        <is>
          <t>運転者限定 Restriction</t>
        </is>
      </c>
      <c r="C9" s="20" t="inlineStr">
        <is>
          <t>本人・配偶者限定 (spouse)</t>
        </is>
      </c>
    </row>
    <row r="10">
      <c r="B10" s="19" t="inlineStr">
        <is>
          <t>保険期間 Term</t>
        </is>
      </c>
      <c r="C10" s="20" t="inlineStr">
        <is>
          <t>1年 (1 year)</t>
        </is>
      </c>
    </row>
    <row r="12">
      <c r="B12" s="3" t="inlineStr">
        <is>
          <t>CALCULATION — 保険料算定</t>
        </is>
      </c>
      <c r="C12" s="18" t="n"/>
      <c r="D12" s="3" t="inlineStr">
        <is>
          <t>JPY ¥</t>
        </is>
      </c>
    </row>
    <row r="13">
      <c r="B13" s="20" t="inlineStr">
        <is>
          <t>① 基本保険料 BI base (Class 7)</t>
        </is>
      </c>
      <c r="D13" s="17" t="n">
        <v>46000</v>
      </c>
    </row>
    <row r="14">
      <c r="B14" s="20" t="inlineStr">
        <is>
          <t xml:space="preserve">  対物 PD base</t>
        </is>
      </c>
      <c r="D14" s="17" t="n">
        <v>38000</v>
      </c>
    </row>
    <row r="15">
      <c r="B15" s="20" t="inlineStr">
        <is>
          <t xml:space="preserve">  車両 Vehicle base</t>
        </is>
      </c>
      <c r="D15" s="17" t="n">
        <v>84000</v>
      </c>
    </row>
    <row r="16">
      <c r="B16" s="20" t="inlineStr">
        <is>
          <t xml:space="preserve">  搭乗者 Passenger base</t>
        </is>
      </c>
      <c r="D16" s="17" t="n">
        <v>13000</v>
      </c>
    </row>
    <row r="17">
      <c r="B17" s="21" t="inlineStr">
        <is>
          <t>② NCD Grade 14 factor BI ×0.62</t>
        </is>
      </c>
      <c r="D17" s="22">
        <f>D13*0.62</f>
        <v/>
      </c>
    </row>
    <row r="18">
      <c r="B18" s="21" t="inlineStr">
        <is>
          <t xml:space="preserve">  NCD Grade 14 PD ×0.65</t>
        </is>
      </c>
      <c r="D18" s="22">
        <f>D14*0.65</f>
        <v/>
      </c>
    </row>
    <row r="19">
      <c r="B19" s="21" t="inlineStr">
        <is>
          <t xml:space="preserve">  NCD Grade 14 Vehicle ×0.61</t>
        </is>
      </c>
      <c r="D19" s="22">
        <f>D15*0.61</f>
        <v/>
      </c>
    </row>
    <row r="20">
      <c r="B20" s="21" t="inlineStr">
        <is>
          <t xml:space="preserve">  NCD Grade 14 Passenger ×0.75</t>
        </is>
      </c>
      <c r="D20" s="22">
        <f>D16*0.75</f>
        <v/>
      </c>
    </row>
    <row r="21">
      <c r="B21" s="21" t="inlineStr">
        <is>
          <t>③ Age 35+ BI/PD ×0.85</t>
        </is>
      </c>
      <c r="D21" s="22">
        <f>D17*0.85</f>
        <v/>
      </c>
    </row>
    <row r="22">
      <c r="B22" s="21" t="inlineStr">
        <is>
          <t xml:space="preserve">  Age 35+ Vehicle ×0.83</t>
        </is>
      </c>
      <c r="D22" s="22">
        <f>D18*0.83</f>
        <v/>
      </c>
    </row>
    <row r="23">
      <c r="B23" s="21" t="inlineStr">
        <is>
          <t>④ Tokyo BI/PD ×1.15</t>
        </is>
      </c>
      <c r="D23" s="22">
        <f>D21*1.15</f>
        <v/>
      </c>
    </row>
    <row r="24">
      <c r="B24" s="21" t="inlineStr">
        <is>
          <t xml:space="preserve">  Tokyo Vehicle ×1.18</t>
        </is>
      </c>
      <c r="D24" s="22">
        <f>D22*1.18</f>
        <v/>
      </c>
    </row>
    <row r="25">
      <c r="B25" s="21" t="inlineStr">
        <is>
          <t>⑤ Spouse restriction BI/PD ×0.88</t>
        </is>
      </c>
      <c r="D25" s="22">
        <f>D23*0.88</f>
        <v/>
      </c>
    </row>
    <row r="26">
      <c r="B26" s="21" t="inlineStr">
        <is>
          <t xml:space="preserve">  Spouse Vehicle ×0.90</t>
        </is>
      </c>
      <c r="D26" s="22">
        <f>D24*0.90</f>
        <v/>
      </c>
    </row>
    <row r="27">
      <c r="B27" s="23" t="inlineStr"/>
    </row>
    <row r="28">
      <c r="B28" s="21" t="inlineStr">
        <is>
          <t>BI final premium</t>
        </is>
      </c>
      <c r="D28" s="22">
        <f>D25</f>
        <v/>
      </c>
    </row>
    <row r="29">
      <c r="B29" s="21" t="inlineStr">
        <is>
          <t>PD final premium</t>
        </is>
      </c>
      <c r="D29" s="22">
        <f>D26</f>
        <v/>
      </c>
    </row>
    <row r="30">
      <c r="B30" s="21" t="inlineStr">
        <is>
          <t>Vehicle final premium</t>
        </is>
      </c>
      <c r="D30" s="22">
        <f>D27</f>
        <v/>
      </c>
    </row>
    <row r="31">
      <c r="B31" s="21" t="inlineStr">
        <is>
          <t>Passenger final</t>
        </is>
      </c>
      <c r="D31" s="22">
        <f>D20</f>
        <v/>
      </c>
    </row>
    <row r="32">
      <c r="B32" s="23" t="inlineStr"/>
    </row>
    <row r="33">
      <c r="B33" s="24" t="inlineStr">
        <is>
          <t>年間合計 TOTAL ANNUAL PREMIUM</t>
        </is>
      </c>
      <c r="D33" s="25">
        <f>D28+D29+D30+D31</f>
        <v/>
      </c>
    </row>
    <row r="34">
      <c r="B34" s="21" t="inlineStr">
        <is>
          <t>月払概算 Monthly (÷12)</t>
        </is>
      </c>
      <c r="D34" s="22">
        <f>D33/12</f>
        <v/>
      </c>
    </row>
  </sheetData>
  <mergeCells count="32">
    <mergeCell ref="C23"/>
    <mergeCell ref="C6:D6"/>
    <mergeCell ref="C17"/>
    <mergeCell ref="B3:C3"/>
    <mergeCell ref="B1:D1"/>
    <mergeCell ref="C5:D5"/>
    <mergeCell ref="C32"/>
    <mergeCell ref="C28"/>
    <mergeCell ref="C19"/>
    <mergeCell ref="C13"/>
    <mergeCell ref="B12:C12"/>
    <mergeCell ref="C4:D4"/>
    <mergeCell ref="C18"/>
    <mergeCell ref="C10:D10"/>
    <mergeCell ref="C34"/>
    <mergeCell ref="C30"/>
    <mergeCell ref="C15"/>
    <mergeCell ref="C33"/>
    <mergeCell ref="C24"/>
    <mergeCell ref="C9:D9"/>
    <mergeCell ref="C14"/>
    <mergeCell ref="C20"/>
    <mergeCell ref="C26"/>
    <mergeCell ref="C29"/>
    <mergeCell ref="C25"/>
    <mergeCell ref="C16"/>
    <mergeCell ref="C22"/>
    <mergeCell ref="C8:D8"/>
    <mergeCell ref="C31"/>
    <mergeCell ref="C7:D7"/>
    <mergeCell ref="C21"/>
    <mergeCell ref="C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5" customWidth="1" min="3" max="3"/>
    <col width="20" customWidth="1" min="4" max="4"/>
    <col width="3" customWidth="1" min="5" max="5"/>
  </cols>
  <sheetData>
    <row r="2" ht="50" customHeight="1">
      <c r="B2" s="1" t="inlineStr">
        <is>
          <t>Japan Auto Insurance — Actuarial Rating Manual</t>
        </is>
      </c>
    </row>
    <row r="3">
      <c r="B3" s="26" t="inlineStr">
        <is>
          <t>自動車保険 料率算定マニュアル | 準拠: NLIRO 参考純率 | Version 2025-JP</t>
        </is>
      </c>
    </row>
    <row r="5">
      <c r="B5" s="4" t="inlineStr">
        <is>
          <t>Sheet</t>
        </is>
      </c>
      <c r="C5" s="4" t="inlineStr">
        <is>
          <t>Contents</t>
        </is>
      </c>
      <c r="D5" s="18" t="n"/>
    </row>
    <row r="6">
      <c r="B6" s="27" t="inlineStr">
        <is>
          <t>NCD_Grades</t>
        </is>
      </c>
      <c r="C6" s="10" t="inlineStr">
        <is>
          <t>等級係数表 NCD Grade Table — 20-grade bonus-malus system</t>
        </is>
      </c>
    </row>
    <row r="7">
      <c r="B7" s="28" t="inlineStr">
        <is>
          <t>Age_Factors</t>
        </is>
      </c>
      <c r="C7" s="9" t="inlineStr">
        <is>
          <t>年齢条件係数 Age Factors — Driver age-band factors</t>
        </is>
      </c>
    </row>
    <row r="8">
      <c r="B8" s="27" t="inlineStr">
        <is>
          <t>Prefecture_Rates</t>
        </is>
      </c>
      <c r="C8" s="10" t="inlineStr">
        <is>
          <t>都道府県別係数 Prefecture — 47 prefectures × risk factor</t>
        </is>
      </c>
    </row>
    <row r="9">
      <c r="B9" s="28" t="inlineStr">
        <is>
          <t>Vehicle_Class</t>
        </is>
      </c>
      <c r="C9" s="9" t="inlineStr">
        <is>
          <t>車種クラス Vehicle Class — Vehicle type × rating class</t>
        </is>
      </c>
    </row>
    <row r="10">
      <c r="B10" s="27" t="inlineStr">
        <is>
          <t>Driver_Restriction</t>
        </is>
      </c>
      <c r="C10" s="10" t="inlineStr">
        <is>
          <t>運転者限定 Driver Limit — Restriction discount factors</t>
        </is>
      </c>
    </row>
    <row r="11">
      <c r="B11" s="28" t="inlineStr">
        <is>
          <t>Base_Premiums</t>
        </is>
      </c>
      <c r="C11" s="9" t="inlineStr">
        <is>
          <t>基本保険料 Base Premiums — Base ¥ amounts by class</t>
        </is>
      </c>
    </row>
    <row r="12">
      <c r="B12" s="27" t="inlineStr">
        <is>
          <t>Sample_Calc</t>
        </is>
      </c>
      <c r="C12" s="10" t="inlineStr">
        <is>
          <t>サンプル計算 Sample Calc — End-to-end worked example</t>
        </is>
      </c>
    </row>
  </sheetData>
  <mergeCells count="3">
    <mergeCell ref="B3:D3"/>
    <mergeCell ref="B2:D2"/>
    <mergeCell ref="C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2026-04-01T02:30:17Z</dcterms:created>
  <dcterms:modified xsi:type="dcterms:W3CDTF">2026-04-01T02:30:17Z</dcterms:modified>
</cp:coreProperties>
</file>